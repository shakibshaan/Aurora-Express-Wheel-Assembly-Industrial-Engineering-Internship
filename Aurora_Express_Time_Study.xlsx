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me Study Data" sheetId="1" state="visible" r:id="rId1"/>
    <sheet xmlns:r="http://schemas.openxmlformats.org/officeDocument/2006/relationships" name="Findings &amp; Recommendations" sheetId="2" state="visible" r:id="rId2"/>
    <sheet xmlns:r="http://schemas.openxmlformats.org/officeDocument/2006/relationships" name="Variability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color rgb="FFD6E4F7"/>
      <sz val="11"/>
    </font>
    <font>
      <name val="Calibri"/>
      <charset val="1"/>
      <family val="0"/>
      <b val="1"/>
      <color rgb="FF2E5EA8"/>
      <sz val="10"/>
    </font>
    <font>
      <name val="Calibri"/>
      <charset val="1"/>
      <family val="0"/>
      <color rgb="FF3D3D3D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A6B3C"/>
      <sz val="10"/>
    </font>
    <font>
      <name val="Calibri"/>
      <charset val="1"/>
      <family val="0"/>
      <color rgb="FF3D3D3D"/>
      <sz val="9"/>
    </font>
    <font>
      <name val="Calibri"/>
      <charset val="1"/>
      <family val="0"/>
      <b val="1"/>
      <color rgb="FFD35400"/>
      <sz val="10"/>
    </font>
    <font>
      <name val="Calibri"/>
      <charset val="1"/>
      <family val="0"/>
      <b val="1"/>
      <color rgb="FFC0392B"/>
      <sz val="10"/>
    </font>
    <font>
      <name val="Calibri"/>
      <charset val="1"/>
      <family val="0"/>
      <b val="1"/>
      <color rgb="FF1B2A4A"/>
      <sz val="10"/>
    </font>
    <font>
      <name val="Calibri"/>
      <charset val="1"/>
      <family val="0"/>
      <b val="1"/>
      <color rgb="FFC0392B"/>
      <sz val="9"/>
    </font>
    <font>
      <name val="Calibri"/>
      <charset val="1"/>
      <family val="0"/>
      <b val="1"/>
      <color rgb="FFD35400"/>
      <sz val="9"/>
    </font>
    <font>
      <name val="Calibri"/>
      <charset val="1"/>
      <family val="0"/>
      <b val="1"/>
      <color rgb="FF1A6B3C"/>
      <sz val="9"/>
    </font>
    <font>
      <name val="Calibri"/>
      <charset val="1"/>
      <family val="0"/>
      <color rgb="FFFFFFFF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2E5EA8"/>
      <sz val="9"/>
    </font>
    <font>
      <name val="Calibri"/>
      <charset val="1"/>
      <family val="0"/>
      <b val="1"/>
      <color rgb="FF3D3D3D"/>
      <sz val="9"/>
    </font>
    <font>
      <name val="Calibri"/>
      <charset val="1"/>
      <family val="0"/>
      <b val="1"/>
      <color rgb="FFFFFFFF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b val="1"/>
      <color rgb="00FFFFFF"/>
      <sz val="10"/>
    </font>
    <font>
      <name val="Calibri"/>
      <b val="1"/>
      <color rgb="00C0392B"/>
      <sz val="10"/>
    </font>
    <font>
      <name val="Calibri"/>
      <color rgb="003D3D3D"/>
      <sz val="10"/>
    </font>
    <font>
      <name val="Calibri"/>
      <b val="1"/>
      <color rgb="00D35400"/>
      <sz val="10"/>
    </font>
    <font>
      <name val="Calibri"/>
      <b val="1"/>
      <color rgb="001A6B3C"/>
      <sz val="10"/>
    </font>
  </fonts>
  <fills count="18">
    <fill>
      <patternFill/>
    </fill>
    <fill>
      <patternFill patternType="gray125"/>
    </fill>
    <fill>
      <patternFill patternType="solid">
        <fgColor rgb="FF1B2A4A"/>
        <bgColor rgb="FF3D3D3D"/>
      </patternFill>
    </fill>
    <fill>
      <patternFill patternType="solid">
        <fgColor rgb="FF2E5EA8"/>
        <bgColor rgb="FF3366FF"/>
      </patternFill>
    </fill>
    <fill>
      <patternFill patternType="solid">
        <fgColor rgb="FFF2F2F2"/>
        <bgColor rgb="FFEEF4FC"/>
      </patternFill>
    </fill>
    <fill>
      <patternFill patternType="solid">
        <fgColor rgb="FFEEF4FC"/>
        <bgColor rgb="FFF2F2F2"/>
      </patternFill>
    </fill>
    <fill>
      <patternFill patternType="solid">
        <fgColor rgb="FFE8F8F0"/>
        <bgColor rgb="FFEEF4FC"/>
      </patternFill>
    </fill>
    <fill>
      <patternFill patternType="solid">
        <fgColor rgb="FFFFFFFF"/>
        <bgColor rgb="FFF9F9F9"/>
      </patternFill>
    </fill>
    <fill>
      <patternFill patternType="solid">
        <fgColor rgb="FFFEF3E2"/>
        <bgColor rgb="FFFDECEA"/>
      </patternFill>
    </fill>
    <fill>
      <patternFill patternType="solid">
        <fgColor rgb="FFFDECEA"/>
        <bgColor rgb="FFFEF3E2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C0392B"/>
      </patternFill>
    </fill>
    <fill>
      <patternFill patternType="solid">
        <fgColor rgb="FFD6E4F7"/>
        <bgColor rgb="FFD9D9D9"/>
      </patternFill>
    </fill>
    <fill>
      <patternFill patternType="solid">
        <fgColor rgb="001B2A4A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EF3E2"/>
      </patternFill>
    </fill>
    <fill>
      <patternFill patternType="solid">
        <fgColor rgb="00E8F8F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center" vertical="center"/>
    </xf>
    <xf numFmtId="1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 inden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 indent="1"/>
    </xf>
    <xf numFmtId="164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top" wrapText="1" indent="1"/>
    </xf>
    <xf numFmtId="1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4" fillId="9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5" fillId="8" borderId="1" applyAlignment="1" pivotButton="0" quotePrefix="0" xfId="0">
      <alignment horizontal="center" vertical="bottom"/>
    </xf>
    <xf numFmtId="0" fontId="16" fillId="6" borderId="1" applyAlignment="1" pivotButton="0" quotePrefix="0" xfId="0">
      <alignment horizontal="center" vertical="bottom"/>
    </xf>
    <xf numFmtId="0" fontId="17" fillId="3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left" vertical="center" indent="1"/>
    </xf>
    <xf numFmtId="0" fontId="19" fillId="10" borderId="0" applyAlignment="1" pivotButton="0" quotePrefix="0" xfId="0">
      <alignment horizontal="left" vertical="center" indent="1"/>
    </xf>
    <xf numFmtId="0" fontId="20" fillId="4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0" fillId="9" borderId="2" applyAlignment="1" pivotButton="0" quotePrefix="0" xfId="0">
      <alignment horizontal="left" vertical="center" indent="2"/>
    </xf>
    <xf numFmtId="0" fontId="19" fillId="11" borderId="0" applyAlignment="1" pivotButton="0" quotePrefix="0" xfId="0">
      <alignment horizontal="left" vertical="center" indent="1"/>
    </xf>
    <xf numFmtId="0" fontId="10" fillId="8" borderId="2" applyAlignment="1" pivotButton="0" quotePrefix="0" xfId="0">
      <alignment horizontal="left" vertical="center" indent="2"/>
    </xf>
    <xf numFmtId="0" fontId="13" fillId="12" borderId="2" applyAlignment="1" pivotButton="0" quotePrefix="0" xfId="0">
      <alignment horizontal="left" vertical="center" indent="1"/>
    </xf>
    <xf numFmtId="0" fontId="7" fillId="7" borderId="2" applyAlignment="1" pivotButton="0" quotePrefix="0" xfId="0">
      <alignment horizontal="left" vertical="center" wrapText="1" indent="1"/>
    </xf>
    <xf numFmtId="0" fontId="22" fillId="2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center" vertical="center"/>
    </xf>
    <xf numFmtId="1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 inden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 indent="1"/>
    </xf>
    <xf numFmtId="164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top" wrapText="1" indent="1"/>
    </xf>
    <xf numFmtId="1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4" fillId="9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0" fontId="15" fillId="8" borderId="1" applyAlignment="1" pivotButton="0" quotePrefix="0" xfId="0">
      <alignment horizontal="center" vertical="bottom"/>
    </xf>
    <xf numFmtId="0" fontId="16" fillId="6" borderId="1" applyAlignment="1" pivotButton="0" quotePrefix="0" xfId="0">
      <alignment horizontal="center" vertical="bottom"/>
    </xf>
    <xf numFmtId="0" fontId="17" fillId="3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left" vertical="center" indent="1"/>
    </xf>
    <xf numFmtId="0" fontId="19" fillId="10" borderId="0" applyAlignment="1" pivotButton="0" quotePrefix="0" xfId="0">
      <alignment horizontal="left" vertical="center" indent="1"/>
    </xf>
    <xf numFmtId="0" fontId="20" fillId="4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0" fillId="9" borderId="2" applyAlignment="1" pivotButton="0" quotePrefix="0" xfId="0">
      <alignment horizontal="left" vertical="center" indent="2"/>
    </xf>
    <xf numFmtId="0" fontId="0" fillId="0" borderId="4" pivotButton="0" quotePrefix="0" xfId="0"/>
    <xf numFmtId="0" fontId="19" fillId="11" borderId="0" applyAlignment="1" pivotButton="0" quotePrefix="0" xfId="0">
      <alignment horizontal="left" vertical="center" indent="1"/>
    </xf>
    <xf numFmtId="0" fontId="10" fillId="8" borderId="2" applyAlignment="1" pivotButton="0" quotePrefix="0" xfId="0">
      <alignment horizontal="left" vertical="center" indent="2"/>
    </xf>
    <xf numFmtId="0" fontId="13" fillId="12" borderId="2" applyAlignment="1" pivotButton="0" quotePrefix="0" xfId="0">
      <alignment horizontal="left" vertical="center" indent="1"/>
    </xf>
    <xf numFmtId="0" fontId="7" fillId="7" borderId="2" applyAlignment="1" pivotButton="0" quotePrefix="0" xfId="0">
      <alignment horizontal="left" vertical="center" wrapText="1" indent="1"/>
    </xf>
    <xf numFmtId="0" fontId="22" fillId="2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26" fillId="13" borderId="5" applyAlignment="1" pivotButton="0" quotePrefix="0" xfId="0">
      <alignment horizontal="left" vertical="center" indent="1"/>
    </xf>
    <xf numFmtId="0" fontId="27" fillId="14" borderId="5" applyAlignment="1" pivotButton="0" quotePrefix="0" xfId="0">
      <alignment horizontal="left" vertical="center" indent="1"/>
    </xf>
    <xf numFmtId="0" fontId="28" fillId="15" borderId="5" applyAlignment="1" pivotButton="0" quotePrefix="0" xfId="0">
      <alignment horizontal="left" vertical="center" indent="1"/>
    </xf>
    <xf numFmtId="0" fontId="29" fillId="16" borderId="5" applyAlignment="1" pivotButton="0" quotePrefix="0" xfId="0">
      <alignment horizontal="left" vertical="center" indent="1"/>
    </xf>
    <xf numFmtId="0" fontId="30" fillId="17" borderId="5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EF3E2"/>
      <rgbColor rgb="FFE8F8F0"/>
      <rgbColor rgb="FF660066"/>
      <rgbColor rgb="FFFF8080"/>
      <rgbColor rgb="FF2E5E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C"/>
      <rgbColor rgb="FFD6E4F7"/>
      <rgbColor rgb="FFFDECEA"/>
      <rgbColor rgb="FFF9F9F9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D35400"/>
      <rgbColor rgb="FF4F81BD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 Step Variability (%) — Colour-Coded by Risk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'Variability Summary'!D2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3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4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6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7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8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9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3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4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5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6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7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8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dPt>
            <idx val="19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solidFill>
                  <a:srgbClr val="FFFFFF"/>
                </a:solidFill>
              </a:ln>
            </spPr>
          </dPt>
          <cat>
            <numRef>
              <f>'Variability Summary'!$A$3:$A$22</f>
            </numRef>
          </cat>
          <val>
            <numRef>
              <f>'Variability Summary'!$D$3:$D$22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Assembly Step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40" customWidth="1" style="45" min="2" max="2"/>
    <col width="8" customWidth="1" style="45" min="3" max="12"/>
    <col width="10" customWidth="1" style="45" min="13" max="13"/>
    <col width="8" customWidth="1" style="45" min="14" max="14"/>
    <col width="11" customWidth="1" style="45" min="15" max="15"/>
    <col width="10" customWidth="1" style="45" min="16" max="16"/>
    <col width="55" customWidth="1" style="45" min="17" max="17"/>
  </cols>
  <sheetData>
    <row r="1" ht="30" customHeight="1" s="46">
      <c r="A1" s="47" t="inlineStr">
        <is>
          <t>Aurora Express Wheel Assembly — Time Study</t>
        </is>
      </c>
    </row>
    <row r="2" ht="21.75" customHeight="1" s="46">
      <c r="A2" s="48" t="inlineStr">
        <is>
          <t>Siemens Mobility | Industrial Engineering Internship (Forage) | Operator 1</t>
        </is>
      </c>
    </row>
    <row r="3" ht="18" customHeight="1" s="46">
      <c r="A3" s="49" t="inlineStr">
        <is>
          <t>Company:</t>
        </is>
      </c>
      <c r="B3" s="50" t="inlineStr">
        <is>
          <t>Siemens Mobility</t>
        </is>
      </c>
      <c r="D3" s="49" t="inlineStr">
        <is>
          <t>Assembly:</t>
        </is>
      </c>
      <c r="E3" s="50" t="inlineStr">
        <is>
          <t>Aurora Express Wheel</t>
        </is>
      </c>
      <c r="G3" s="49" t="inlineStr">
        <is>
          <t>Date:</t>
        </is>
      </c>
      <c r="H3" s="50" t="inlineStr">
        <is>
          <t>MM/DD/YYYY</t>
        </is>
      </c>
      <c r="J3" s="49" t="inlineStr">
        <is>
          <t>Units:</t>
        </is>
      </c>
      <c r="K3" s="50" t="inlineStr">
        <is>
          <t>1</t>
        </is>
      </c>
      <c r="M3" s="49" t="inlineStr">
        <is>
          <t>Recorder:</t>
        </is>
      </c>
      <c r="N3" s="50" t="inlineStr">
        <is>
          <t>Forage Intern</t>
        </is>
      </c>
    </row>
    <row r="5" ht="36" customHeight="1" s="46">
      <c r="A5" s="51" t="inlineStr">
        <is>
          <t>#</t>
        </is>
      </c>
      <c r="B5" s="51" t="inlineStr">
        <is>
          <t>Element Description</t>
        </is>
      </c>
      <c r="C5" s="51" t="inlineStr">
        <is>
          <t>T1</t>
        </is>
      </c>
      <c r="D5" s="51" t="inlineStr">
        <is>
          <t>T2</t>
        </is>
      </c>
      <c r="E5" s="51" t="inlineStr">
        <is>
          <t>T3</t>
        </is>
      </c>
      <c r="F5" s="51" t="inlineStr">
        <is>
          <t>T4</t>
        </is>
      </c>
      <c r="G5" s="51" t="inlineStr">
        <is>
          <t>T5</t>
        </is>
      </c>
      <c r="H5" s="51" t="inlineStr">
        <is>
          <t>T6</t>
        </is>
      </c>
      <c r="I5" s="51" t="inlineStr">
        <is>
          <t>T7</t>
        </is>
      </c>
      <c r="J5" s="51" t="inlineStr">
        <is>
          <t>T8</t>
        </is>
      </c>
      <c r="K5" s="51" t="inlineStr">
        <is>
          <t>T9</t>
        </is>
      </c>
      <c r="L5" s="51" t="inlineStr">
        <is>
          <t>T10</t>
        </is>
      </c>
      <c r="M5" s="51" t="inlineStr">
        <is>
          <t>Avg Time
(hrs)</t>
        </is>
      </c>
      <c r="N5" s="51" t="inlineStr">
        <is>
          <t>Range
(hrs)</t>
        </is>
      </c>
      <c r="O5" s="51" t="inlineStr">
        <is>
          <t>Variability
(%)</t>
        </is>
      </c>
      <c r="P5" s="51" t="inlineStr">
        <is>
          <t>Risk
Level</t>
        </is>
      </c>
      <c r="Q5" s="51" t="inlineStr">
        <is>
          <t>Notes / Recommendations</t>
        </is>
      </c>
    </row>
    <row r="6" ht="39.75" customHeight="1" s="46">
      <c r="A6" s="52" t="n">
        <v>1</v>
      </c>
      <c r="B6" s="53" t="inlineStr">
        <is>
          <t>Retrieve wheel components from storage</t>
        </is>
      </c>
      <c r="C6" s="54" t="n">
        <v>0.1042</v>
      </c>
      <c r="D6" s="54" t="n">
        <v>0.1021</v>
      </c>
      <c r="E6" s="54" t="n">
        <v>0.0979</v>
      </c>
      <c r="F6" s="54" t="n">
        <v>0.1063</v>
      </c>
      <c r="G6" s="54" t="n">
        <v>0.1014</v>
      </c>
      <c r="H6" s="54" t="n">
        <v>0.0944</v>
      </c>
      <c r="I6" s="54" t="n">
        <v>0.1014</v>
      </c>
      <c r="J6" s="54" t="n">
        <v>0.1083</v>
      </c>
      <c r="K6" s="54" t="n">
        <v>0.1049</v>
      </c>
      <c r="L6" s="54" t="n">
        <v>0.1035</v>
      </c>
      <c r="M6" s="54" t="n">
        <v>0.1024</v>
      </c>
      <c r="N6" s="54" t="n">
        <v>0.0139</v>
      </c>
      <c r="O6" s="55" t="n">
        <v>0.1356</v>
      </c>
      <c r="P6" s="56" t="inlineStr">
        <is>
          <t>Normal</t>
        </is>
      </c>
      <c r="Q6" s="57" t="inlineStr">
        <is>
          <t>Time varies by storage efficiency and distance.</t>
        </is>
      </c>
    </row>
    <row r="7" ht="39.75" customHeight="1" s="46">
      <c r="A7" s="58" t="n">
        <v>2</v>
      </c>
      <c r="B7" s="59" t="inlineStr">
        <is>
          <t>Setup workspace and tools</t>
        </is>
      </c>
      <c r="C7" s="60" t="n">
        <v>0.07290000000000001</v>
      </c>
      <c r="D7" s="60" t="n">
        <v>0.07290000000000001</v>
      </c>
      <c r="E7" s="60" t="n">
        <v>0.0674</v>
      </c>
      <c r="F7" s="60" t="n">
        <v>0.0646</v>
      </c>
      <c r="G7" s="60" t="n">
        <v>0.075</v>
      </c>
      <c r="H7" s="60" t="n">
        <v>0.06320000000000001</v>
      </c>
      <c r="I7" s="60" t="n">
        <v>0.0653</v>
      </c>
      <c r="J7" s="60" t="n">
        <v>0.0736</v>
      </c>
      <c r="K7" s="60" t="n">
        <v>0.0674</v>
      </c>
      <c r="L7" s="60" t="n">
        <v>0.0646</v>
      </c>
      <c r="M7" s="60" t="n">
        <v>0.0687</v>
      </c>
      <c r="N7" s="60" t="n">
        <v>0.0118</v>
      </c>
      <c r="O7" s="55" t="n">
        <v>0.1719</v>
      </c>
      <c r="P7" s="56" t="inlineStr">
        <is>
          <t>Normal</t>
        </is>
      </c>
      <c r="Q7" s="61" t="inlineStr">
        <is>
          <t>Dependent on organisation and availability of tools.</t>
        </is>
      </c>
    </row>
    <row r="8" ht="39.75" customHeight="1" s="46">
      <c r="A8" s="52" t="n">
        <v>3</v>
      </c>
      <c r="B8" s="53" t="inlineStr">
        <is>
          <t>Inspect components for defects</t>
        </is>
      </c>
      <c r="C8" s="54" t="n">
        <v>0.125</v>
      </c>
      <c r="D8" s="54" t="n">
        <v>0.1292</v>
      </c>
      <c r="E8" s="54" t="n">
        <v>0.1306</v>
      </c>
      <c r="F8" s="54" t="n">
        <v>0.1313</v>
      </c>
      <c r="G8" s="54" t="n">
        <v>0.1306</v>
      </c>
      <c r="H8" s="54" t="n">
        <v>0.1194</v>
      </c>
      <c r="I8" s="54" t="n">
        <v>0.1188</v>
      </c>
      <c r="J8" s="54" t="n">
        <v>0.1264</v>
      </c>
      <c r="K8" s="54" t="n">
        <v>0.1292</v>
      </c>
      <c r="L8" s="54" t="n">
        <v>0.1285</v>
      </c>
      <c r="M8" s="54" t="n">
        <v>0.1269</v>
      </c>
      <c r="N8" s="54" t="n">
        <v>0.0125</v>
      </c>
      <c r="O8" s="55" t="n">
        <v>0.0985</v>
      </c>
      <c r="P8" s="56" t="inlineStr">
        <is>
          <t>Normal</t>
        </is>
      </c>
      <c r="Q8" s="57" t="inlineStr">
        <is>
          <t>Critical for quality; variability in defect rates.</t>
        </is>
      </c>
    </row>
    <row r="9" ht="39.75" customHeight="1" s="46">
      <c r="A9" s="58" t="n">
        <v>4</v>
      </c>
      <c r="B9" s="59" t="inlineStr">
        <is>
          <t>Assemble hub to wheel frame</t>
        </is>
      </c>
      <c r="C9" s="60" t="n">
        <v>0.1806</v>
      </c>
      <c r="D9" s="60" t="n">
        <v>0.1701</v>
      </c>
      <c r="E9" s="60" t="n">
        <v>0.1799</v>
      </c>
      <c r="F9" s="60" t="n">
        <v>0.1819</v>
      </c>
      <c r="G9" s="60" t="n">
        <v>0.1896</v>
      </c>
      <c r="H9" s="60" t="n">
        <v>0.1764</v>
      </c>
      <c r="I9" s="60" t="n">
        <v>0.1729</v>
      </c>
      <c r="J9" s="60" t="n">
        <v>0.1736</v>
      </c>
      <c r="K9" s="60" t="n">
        <v>0.1764</v>
      </c>
      <c r="L9" s="60" t="n">
        <v>0.1819</v>
      </c>
      <c r="M9" s="60" t="n">
        <v>0.1783</v>
      </c>
      <c r="N9" s="60" t="n">
        <v>0.0194</v>
      </c>
      <c r="O9" s="62" t="n">
        <v>0.109</v>
      </c>
      <c r="P9" s="63" t="inlineStr">
        <is>
          <t>High</t>
        </is>
      </c>
      <c r="Q9" s="61" t="inlineStr">
        <is>
          <t>Precision manual task — consider worker rotation to reduce fatigue.</t>
        </is>
      </c>
    </row>
    <row r="10" ht="39.75" customHeight="1" s="46">
      <c r="A10" s="52" t="n">
        <v>5</v>
      </c>
      <c r="B10" s="53" t="inlineStr">
        <is>
          <t>Secure hub with bolts</t>
        </is>
      </c>
      <c r="C10" s="54" t="n">
        <v>0.1181</v>
      </c>
      <c r="D10" s="54" t="n">
        <v>0.1097</v>
      </c>
      <c r="E10" s="54" t="n">
        <v>0.1243</v>
      </c>
      <c r="F10" s="54" t="n">
        <v>0.1208</v>
      </c>
      <c r="G10" s="54" t="n">
        <v>0.109</v>
      </c>
      <c r="H10" s="54" t="n">
        <v>0.125</v>
      </c>
      <c r="I10" s="54" t="n">
        <v>0.1181</v>
      </c>
      <c r="J10" s="54" t="n">
        <v>0.1139</v>
      </c>
      <c r="K10" s="54" t="n">
        <v>0.1076</v>
      </c>
      <c r="L10" s="54" t="n">
        <v>0.1201</v>
      </c>
      <c r="M10" s="54" t="n">
        <v>0.1167</v>
      </c>
      <c r="N10" s="54" t="n">
        <v>0.0174</v>
      </c>
      <c r="O10" s="55" t="n">
        <v>0.1488</v>
      </c>
      <c r="P10" s="56" t="inlineStr">
        <is>
          <t>Normal</t>
        </is>
      </c>
      <c r="Q10" s="57" t="inlineStr">
        <is>
          <t>Utilises specialised tools; time varies by tool efficiency.</t>
        </is>
      </c>
    </row>
    <row r="11" ht="39.75" customHeight="1" s="46">
      <c r="A11" s="58" t="n">
        <v>6</v>
      </c>
      <c r="B11" s="59" t="inlineStr">
        <is>
          <t>Lubricate wheel bearings</t>
        </is>
      </c>
      <c r="C11" s="60" t="n">
        <v>0.0625</v>
      </c>
      <c r="D11" s="60" t="n">
        <v>0.0708</v>
      </c>
      <c r="E11" s="60" t="n">
        <v>0.0639</v>
      </c>
      <c r="F11" s="60" t="n">
        <v>0.0722</v>
      </c>
      <c r="G11" s="60" t="n">
        <v>0.0521</v>
      </c>
      <c r="H11" s="60" t="n">
        <v>0.0542</v>
      </c>
      <c r="I11" s="60" t="n">
        <v>0.066</v>
      </c>
      <c r="J11" s="60" t="n">
        <v>0.0542</v>
      </c>
      <c r="K11" s="60" t="n">
        <v>0.059</v>
      </c>
      <c r="L11" s="60" t="n">
        <v>0.0708</v>
      </c>
      <c r="M11" s="60" t="n">
        <v>0.0626</v>
      </c>
      <c r="N11" s="60" t="n">
        <v>0.0201</v>
      </c>
      <c r="O11" s="64" t="n">
        <v>0.3219</v>
      </c>
      <c r="P11" s="65" t="inlineStr">
        <is>
          <t>CRITICAL</t>
        </is>
      </c>
      <c r="Q11" s="61" t="inlineStr">
        <is>
          <t>⚠ Highest variability (32.2%) — standardise SOP and conduct targeted training immediately.</t>
        </is>
      </c>
    </row>
    <row r="12" ht="39.75" customHeight="1" s="46">
      <c r="A12" s="52" t="n">
        <v>7</v>
      </c>
      <c r="B12" s="53" t="inlineStr">
        <is>
          <t>Install bearings into hub</t>
        </is>
      </c>
      <c r="C12" s="54" t="n">
        <v>0.1354</v>
      </c>
      <c r="D12" s="54" t="n">
        <v>0.1271</v>
      </c>
      <c r="E12" s="54" t="n">
        <v>0.1285</v>
      </c>
      <c r="F12" s="54" t="n">
        <v>0.1382</v>
      </c>
      <c r="G12" s="54" t="n">
        <v>0.125</v>
      </c>
      <c r="H12" s="54" t="n">
        <v>0.1292</v>
      </c>
      <c r="I12" s="54" t="n">
        <v>0.1271</v>
      </c>
      <c r="J12" s="54" t="n">
        <v>0.125</v>
      </c>
      <c r="K12" s="54" t="n">
        <v>0.1375</v>
      </c>
      <c r="L12" s="54" t="n">
        <v>0.1347</v>
      </c>
      <c r="M12" s="54" t="n">
        <v>0.1308</v>
      </c>
      <c r="N12" s="54" t="n">
        <v>0.0132</v>
      </c>
      <c r="O12" s="55" t="n">
        <v>0.1009</v>
      </c>
      <c r="P12" s="56" t="inlineStr">
        <is>
          <t>Normal</t>
        </is>
      </c>
      <c r="Q12" s="57" t="inlineStr">
        <is>
          <t>Requires precision; misalignment leads to rework.</t>
        </is>
      </c>
    </row>
    <row r="13" ht="39.75" customHeight="1" s="46">
      <c r="A13" s="58" t="n">
        <v>8</v>
      </c>
      <c r="B13" s="59" t="inlineStr">
        <is>
          <t>Attach wheel sensors</t>
        </is>
      </c>
      <c r="C13" s="60" t="n">
        <v>0.1111</v>
      </c>
      <c r="D13" s="60" t="n">
        <v>0.1056</v>
      </c>
      <c r="E13" s="60" t="n">
        <v>0.1181</v>
      </c>
      <c r="F13" s="60" t="n">
        <v>0.1139</v>
      </c>
      <c r="G13" s="60" t="n">
        <v>0.1035</v>
      </c>
      <c r="H13" s="60" t="n">
        <v>0.1167</v>
      </c>
      <c r="I13" s="60" t="n">
        <v>0.109</v>
      </c>
      <c r="J13" s="60" t="n">
        <v>0.1042</v>
      </c>
      <c r="K13" s="60" t="n">
        <v>0.1083</v>
      </c>
      <c r="L13" s="60" t="n">
        <v>0.1069</v>
      </c>
      <c r="M13" s="60" t="n">
        <v>0.1097</v>
      </c>
      <c r="N13" s="60" t="n">
        <v>0.0146</v>
      </c>
      <c r="O13" s="55" t="n">
        <v>0.1329</v>
      </c>
      <c r="P13" s="56" t="inlineStr">
        <is>
          <t>Normal</t>
        </is>
      </c>
      <c r="Q13" s="61" t="inlineStr">
        <is>
          <t>Delicate handling and precision placement required.</t>
        </is>
      </c>
    </row>
    <row r="14" ht="39.75" customHeight="1" s="46">
      <c r="A14" s="52" t="n">
        <v>9</v>
      </c>
      <c r="B14" s="53" t="inlineStr">
        <is>
          <t>Test sensor functionality</t>
        </is>
      </c>
      <c r="C14" s="54" t="n">
        <v>0.1215</v>
      </c>
      <c r="D14" s="54" t="n">
        <v>0.1174</v>
      </c>
      <c r="E14" s="54" t="n">
        <v>0.1201</v>
      </c>
      <c r="F14" s="54" t="n">
        <v>0.1208</v>
      </c>
      <c r="G14" s="54" t="n">
        <v>0.1257</v>
      </c>
      <c r="H14" s="54" t="n">
        <v>0.1188</v>
      </c>
      <c r="I14" s="54" t="n">
        <v>0.1139</v>
      </c>
      <c r="J14" s="54" t="n">
        <v>0.1319</v>
      </c>
      <c r="K14" s="54" t="n">
        <v>0.1292</v>
      </c>
      <c r="L14" s="54" t="n">
        <v>0.1292</v>
      </c>
      <c r="M14" s="54" t="n">
        <v>0.1228</v>
      </c>
      <c r="N14" s="54" t="n">
        <v>0.0181</v>
      </c>
      <c r="O14" s="55" t="n">
        <v>0.147</v>
      </c>
      <c r="P14" s="56" t="inlineStr">
        <is>
          <t>Normal</t>
        </is>
      </c>
      <c r="Q14" s="57" t="inlineStr">
        <is>
          <t>Critical step; variability linked to sensor performance.</t>
        </is>
      </c>
    </row>
    <row r="15" ht="39.75" customHeight="1" s="46">
      <c r="A15" s="58" t="n">
        <v>10</v>
      </c>
      <c r="B15" s="59" t="inlineStr">
        <is>
          <t>Fit brake discs to hub</t>
        </is>
      </c>
      <c r="C15" s="60" t="n">
        <v>0.1701</v>
      </c>
      <c r="D15" s="60" t="n">
        <v>0.1729</v>
      </c>
      <c r="E15" s="60" t="n">
        <v>0.1653</v>
      </c>
      <c r="F15" s="60" t="n">
        <v>0.1646</v>
      </c>
      <c r="G15" s="60" t="n">
        <v>0.1632</v>
      </c>
      <c r="H15" s="60" t="n">
        <v>0.1694</v>
      </c>
      <c r="I15" s="60" t="n">
        <v>0.1736</v>
      </c>
      <c r="J15" s="60" t="n">
        <v>0.1597</v>
      </c>
      <c r="K15" s="60" t="n">
        <v>0.1757</v>
      </c>
      <c r="L15" s="60" t="n">
        <v>0.1604</v>
      </c>
      <c r="M15" s="60" t="n">
        <v>0.1675</v>
      </c>
      <c r="N15" s="60" t="n">
        <v>0.016</v>
      </c>
      <c r="O15" s="55" t="n">
        <v>0.0954</v>
      </c>
      <c r="P15" s="56" t="inlineStr">
        <is>
          <t>Normal</t>
        </is>
      </c>
      <c r="Q15" s="61" t="inlineStr">
        <is>
          <t>Heavy lifting and precise alignment — mechanical aids recommended.</t>
        </is>
      </c>
    </row>
    <row r="16" ht="39.75" customHeight="1" s="46">
      <c r="A16" s="52" t="n">
        <v>11</v>
      </c>
      <c r="B16" s="53" t="inlineStr">
        <is>
          <t>Install brake calipers</t>
        </is>
      </c>
      <c r="C16" s="54" t="n">
        <v>0.1597</v>
      </c>
      <c r="D16" s="54" t="n">
        <v>0.1639</v>
      </c>
      <c r="E16" s="54" t="n">
        <v>0.1556</v>
      </c>
      <c r="F16" s="54" t="n">
        <v>0.1493</v>
      </c>
      <c r="G16" s="54" t="n">
        <v>0.1535</v>
      </c>
      <c r="H16" s="54" t="n">
        <v>0.1618</v>
      </c>
      <c r="I16" s="54" t="n">
        <v>0.1549</v>
      </c>
      <c r="J16" s="54" t="n">
        <v>0.1611</v>
      </c>
      <c r="K16" s="54" t="n">
        <v>0.1681</v>
      </c>
      <c r="L16" s="54" t="n">
        <v>0.1521</v>
      </c>
      <c r="M16" s="54" t="n">
        <v>0.158</v>
      </c>
      <c r="N16" s="54" t="n">
        <v>0.0188</v>
      </c>
      <c r="O16" s="55" t="n">
        <v>0.1187</v>
      </c>
      <c r="P16" s="56" t="inlineStr">
        <is>
          <t>Normal</t>
        </is>
      </c>
      <c r="Q16" s="57" t="inlineStr">
        <is>
          <t>Complex multi-component assembly.</t>
        </is>
      </c>
    </row>
    <row r="17" ht="39.75" customHeight="1" s="46">
      <c r="A17" s="58" t="n">
        <v>12</v>
      </c>
      <c r="B17" s="59" t="inlineStr">
        <is>
          <t>Connect brake lines</t>
        </is>
      </c>
      <c r="C17" s="60" t="n">
        <v>0.1493</v>
      </c>
      <c r="D17" s="60" t="n">
        <v>0.1514</v>
      </c>
      <c r="E17" s="60" t="n">
        <v>0.1528</v>
      </c>
      <c r="F17" s="60" t="n">
        <v>0.1396</v>
      </c>
      <c r="G17" s="60" t="n">
        <v>0.1444</v>
      </c>
      <c r="H17" s="60" t="n">
        <v>0.1576</v>
      </c>
      <c r="I17" s="60" t="n">
        <v>0.1486</v>
      </c>
      <c r="J17" s="60" t="n">
        <v>0.1514</v>
      </c>
      <c r="K17" s="60" t="n">
        <v>0.1403</v>
      </c>
      <c r="L17" s="60" t="n">
        <v>0.1458</v>
      </c>
      <c r="M17" s="60" t="n">
        <v>0.1481</v>
      </c>
      <c r="N17" s="60" t="n">
        <v>0.0181</v>
      </c>
      <c r="O17" s="55" t="n">
        <v>0.1219</v>
      </c>
      <c r="P17" s="56" t="inlineStr">
        <is>
          <t>Normal</t>
        </is>
      </c>
      <c r="Q17" s="61" t="inlineStr">
        <is>
          <t>Requires careful routing and secure connections.</t>
        </is>
      </c>
    </row>
    <row r="18" ht="39.75" customHeight="1" s="46">
      <c r="A18" s="52" t="n">
        <v>13</v>
      </c>
      <c r="B18" s="53" t="inlineStr">
        <is>
          <t>Bleed brake system</t>
        </is>
      </c>
      <c r="C18" s="54" t="n">
        <v>0.1667</v>
      </c>
      <c r="D18" s="54" t="n">
        <v>0.159</v>
      </c>
      <c r="E18" s="54" t="n">
        <v>0.1694</v>
      </c>
      <c r="F18" s="54" t="n">
        <v>0.1625</v>
      </c>
      <c r="G18" s="54" t="n">
        <v>0.1701</v>
      </c>
      <c r="H18" s="54" t="n">
        <v>0.1563</v>
      </c>
      <c r="I18" s="54" t="n">
        <v>0.1667</v>
      </c>
      <c r="J18" s="54" t="n">
        <v>0.159</v>
      </c>
      <c r="K18" s="54" t="n">
        <v>0.1736</v>
      </c>
      <c r="L18" s="54" t="n">
        <v>0.1715</v>
      </c>
      <c r="M18" s="54" t="n">
        <v>0.1655</v>
      </c>
      <c r="N18" s="54" t="n">
        <v>0.0174</v>
      </c>
      <c r="O18" s="55" t="n">
        <v>0.1049</v>
      </c>
      <c r="P18" s="56" t="inlineStr">
        <is>
          <t>Normal</t>
        </is>
      </c>
      <c r="Q18" s="57" t="inlineStr">
        <is>
          <t>Essential for operation; time varies with technique.</t>
        </is>
      </c>
    </row>
    <row r="19" ht="39.75" customHeight="1" s="46">
      <c r="A19" s="58" t="n">
        <v>14</v>
      </c>
      <c r="B19" s="59" t="inlineStr">
        <is>
          <t>Mount wheel to axle</t>
        </is>
      </c>
      <c r="C19" s="60" t="n">
        <v>0.2257</v>
      </c>
      <c r="D19" s="60" t="n">
        <v>0.2313</v>
      </c>
      <c r="E19" s="60" t="n">
        <v>0.2264</v>
      </c>
      <c r="F19" s="60" t="n">
        <v>0.2326</v>
      </c>
      <c r="G19" s="60" t="n">
        <v>0.2271</v>
      </c>
      <c r="H19" s="60" t="n">
        <v>0.225</v>
      </c>
      <c r="I19" s="60" t="n">
        <v>0.2292</v>
      </c>
      <c r="J19" s="60" t="n">
        <v>0.2167</v>
      </c>
      <c r="K19" s="60" t="n">
        <v>0.2167</v>
      </c>
      <c r="L19" s="60" t="n">
        <v>0.2229</v>
      </c>
      <c r="M19" s="60" t="n">
        <v>0.2253</v>
      </c>
      <c r="N19" s="60" t="n">
        <v>0.016</v>
      </c>
      <c r="O19" s="62" t="n">
        <v>0.0709</v>
      </c>
      <c r="P19" s="63" t="inlineStr">
        <is>
          <t>High</t>
        </is>
      </c>
      <c r="Q19" s="61" t="inlineStr">
        <is>
          <t>⚠ Heaviest component — crane-dependent. Pre-schedule crane usage to eliminate wait time.</t>
        </is>
      </c>
    </row>
    <row r="20" ht="39.75" customHeight="1" s="46">
      <c r="A20" s="52" t="n">
        <v>15</v>
      </c>
      <c r="B20" s="53" t="inlineStr">
        <is>
          <t>Secure wheel with locking mechanism</t>
        </is>
      </c>
      <c r="C20" s="54" t="n">
        <v>0.09719999999999999</v>
      </c>
      <c r="D20" s="54" t="n">
        <v>0.091</v>
      </c>
      <c r="E20" s="54" t="n">
        <v>0.1</v>
      </c>
      <c r="F20" s="54" t="n">
        <v>0.0868</v>
      </c>
      <c r="G20" s="54" t="n">
        <v>0.09719999999999999</v>
      </c>
      <c r="H20" s="54" t="n">
        <v>0.08890000000000001</v>
      </c>
      <c r="I20" s="54" t="n">
        <v>0.08890000000000001</v>
      </c>
      <c r="J20" s="54" t="n">
        <v>0.0979</v>
      </c>
      <c r="K20" s="54" t="n">
        <v>0.1076</v>
      </c>
      <c r="L20" s="54" t="n">
        <v>0.0924</v>
      </c>
      <c r="M20" s="54" t="n">
        <v>0.0948</v>
      </c>
      <c r="N20" s="54" t="n">
        <v>0.0208</v>
      </c>
      <c r="O20" s="62" t="n">
        <v>0.2198</v>
      </c>
      <c r="P20" s="63" t="inlineStr">
        <is>
          <t>High</t>
        </is>
      </c>
      <c r="Q20" s="57" t="inlineStr">
        <is>
          <t>⚠ Safety-critical torque operation — enforce SOP, PPE checks, and team rotation.</t>
        </is>
      </c>
    </row>
    <row r="21" ht="39.75" customHeight="1" s="46">
      <c r="A21" s="58" t="n">
        <v>16</v>
      </c>
      <c r="B21" s="59" t="inlineStr">
        <is>
          <t>Conduct wheel alignment</t>
        </is>
      </c>
      <c r="C21" s="60" t="n">
        <v>0.1979</v>
      </c>
      <c r="D21" s="60" t="n">
        <v>0.2042</v>
      </c>
      <c r="E21" s="60" t="n">
        <v>0.191</v>
      </c>
      <c r="F21" s="60" t="n">
        <v>0.1944</v>
      </c>
      <c r="G21" s="60" t="n">
        <v>0.1903</v>
      </c>
      <c r="H21" s="60" t="n">
        <v>0.2021</v>
      </c>
      <c r="I21" s="60" t="n">
        <v>0.2056</v>
      </c>
      <c r="J21" s="60" t="n">
        <v>0.2076</v>
      </c>
      <c r="K21" s="60" t="n">
        <v>0.1896</v>
      </c>
      <c r="L21" s="60" t="n">
        <v>0.1951</v>
      </c>
      <c r="M21" s="60" t="n">
        <v>0.1978</v>
      </c>
      <c r="N21" s="60" t="n">
        <v>0.0181</v>
      </c>
      <c r="O21" s="55" t="n">
        <v>0.09130000000000001</v>
      </c>
      <c r="P21" s="56" t="inlineStr">
        <is>
          <t>Normal</t>
        </is>
      </c>
      <c r="Q21" s="61" t="inlineStr">
        <is>
          <t>Requires specialised equipment — skilled operator allocation is key.</t>
        </is>
      </c>
    </row>
    <row r="22" ht="39.75" customHeight="1" s="46">
      <c r="A22" s="52" t="n">
        <v>17</v>
      </c>
      <c r="B22" s="53" t="inlineStr">
        <is>
          <t>Perform functional test of wheel assembly</t>
        </is>
      </c>
      <c r="C22" s="54" t="n">
        <v>0.1319</v>
      </c>
      <c r="D22" s="54" t="n">
        <v>0.1382</v>
      </c>
      <c r="E22" s="54" t="n">
        <v>0.1424</v>
      </c>
      <c r="F22" s="54" t="n">
        <v>0.1354</v>
      </c>
      <c r="G22" s="54" t="n">
        <v>0.1278</v>
      </c>
      <c r="H22" s="54" t="n">
        <v>0.1299</v>
      </c>
      <c r="I22" s="54" t="n">
        <v>0.1375</v>
      </c>
      <c r="J22" s="54" t="n">
        <v>0.1236</v>
      </c>
      <c r="K22" s="54" t="n">
        <v>0.1424</v>
      </c>
      <c r="L22" s="54" t="n">
        <v>0.1229</v>
      </c>
      <c r="M22" s="54" t="n">
        <v>0.1332</v>
      </c>
      <c r="N22" s="54" t="n">
        <v>0.0194</v>
      </c>
      <c r="O22" s="55" t="n">
        <v>0.146</v>
      </c>
      <c r="P22" s="56" t="inlineStr">
        <is>
          <t>Normal</t>
        </is>
      </c>
      <c r="Q22" s="57" t="inlineStr">
        <is>
          <t>Comprehensive testing; variability in defect findings.</t>
        </is>
      </c>
    </row>
    <row r="23" ht="39.75" customHeight="1" s="46">
      <c r="A23" s="58" t="n">
        <v>18</v>
      </c>
      <c r="B23" s="59" t="inlineStr">
        <is>
          <t>Clean assembly area</t>
        </is>
      </c>
      <c r="C23" s="60" t="n">
        <v>0.0799</v>
      </c>
      <c r="D23" s="60" t="n">
        <v>0.07779999999999999</v>
      </c>
      <c r="E23" s="60" t="n">
        <v>0.0799</v>
      </c>
      <c r="F23" s="60" t="n">
        <v>0.0854</v>
      </c>
      <c r="G23" s="60" t="n">
        <v>0.0764</v>
      </c>
      <c r="H23" s="60" t="n">
        <v>0.0868</v>
      </c>
      <c r="I23" s="60" t="n">
        <v>0.0799</v>
      </c>
      <c r="J23" s="60" t="n">
        <v>0.0708</v>
      </c>
      <c r="K23" s="60" t="n">
        <v>0.0882</v>
      </c>
      <c r="L23" s="60" t="n">
        <v>0.08260000000000001</v>
      </c>
      <c r="M23" s="60" t="n">
        <v>0.0808</v>
      </c>
      <c r="N23" s="60" t="n">
        <v>0.0174</v>
      </c>
      <c r="O23" s="62" t="n">
        <v>0.215</v>
      </c>
      <c r="P23" s="63" t="inlineStr">
        <is>
          <t>High</t>
        </is>
      </c>
      <c r="Q23" s="61" t="inlineStr">
        <is>
          <t>Maintain 5S discipline; high variability signals inconsistent adherence.</t>
        </is>
      </c>
    </row>
    <row r="24" ht="39.75" customHeight="1" s="46">
      <c r="A24" s="52" t="n">
        <v>19</v>
      </c>
      <c r="B24" s="53" t="inlineStr">
        <is>
          <t>Document assembly process</t>
        </is>
      </c>
      <c r="C24" s="54" t="n">
        <v>0.0868</v>
      </c>
      <c r="D24" s="54" t="n">
        <v>0.0944</v>
      </c>
      <c r="E24" s="54" t="n">
        <v>0.0868</v>
      </c>
      <c r="F24" s="54" t="n">
        <v>0.0785</v>
      </c>
      <c r="G24" s="54" t="n">
        <v>0.0944</v>
      </c>
      <c r="H24" s="54" t="n">
        <v>0.0833</v>
      </c>
      <c r="I24" s="54" t="n">
        <v>0.0854</v>
      </c>
      <c r="J24" s="54" t="n">
        <v>0.0833</v>
      </c>
      <c r="K24" s="54" t="n">
        <v>0.0785</v>
      </c>
      <c r="L24" s="54" t="n">
        <v>0.08749999999999999</v>
      </c>
      <c r="M24" s="54" t="n">
        <v>0.0859</v>
      </c>
      <c r="N24" s="54" t="n">
        <v>0.016</v>
      </c>
      <c r="O24" s="62" t="n">
        <v>0.1859</v>
      </c>
      <c r="P24" s="63" t="inlineStr">
        <is>
          <t>High</t>
        </is>
      </c>
      <c r="Q24" s="57" t="inlineStr">
        <is>
          <t>Digitise documentation to reduce variability and human error.</t>
        </is>
      </c>
    </row>
    <row r="25" ht="39.75" customHeight="1" s="46">
      <c r="A25" s="58" t="n">
        <v>20</v>
      </c>
      <c r="B25" s="59" t="inlineStr">
        <is>
          <t>Transport assembly to next section</t>
        </is>
      </c>
      <c r="C25" s="60" t="n">
        <v>0.1111</v>
      </c>
      <c r="D25" s="60" t="n">
        <v>0.1014</v>
      </c>
      <c r="E25" s="60" t="n">
        <v>0.1007</v>
      </c>
      <c r="F25" s="60" t="n">
        <v>0.1215</v>
      </c>
      <c r="G25" s="60" t="n">
        <v>0.1174</v>
      </c>
      <c r="H25" s="60" t="n">
        <v>0.1146</v>
      </c>
      <c r="I25" s="60" t="n">
        <v>0.1153</v>
      </c>
      <c r="J25" s="60" t="n">
        <v>0.1097</v>
      </c>
      <c r="K25" s="60" t="n">
        <v>0.1132</v>
      </c>
      <c r="L25" s="60" t="n">
        <v>0.1007</v>
      </c>
      <c r="M25" s="60" t="n">
        <v>0.1106</v>
      </c>
      <c r="N25" s="60" t="n">
        <v>0.0208</v>
      </c>
      <c r="O25" s="62" t="n">
        <v>0.1884</v>
      </c>
      <c r="P25" s="63" t="inlineStr">
        <is>
          <t>High</t>
        </is>
      </c>
      <c r="Q25" s="61" t="inlineStr">
        <is>
          <t>Efficiency depends on workshop layout — addressed in layout proposal.</t>
        </is>
      </c>
    </row>
    <row r="26" ht="21.75" customHeight="1" s="46">
      <c r="A26" s="66" t="inlineStr">
        <is>
          <t>∑</t>
        </is>
      </c>
      <c r="B26" s="67" t="inlineStr">
        <is>
          <t>TOTAL CYCLE TIME</t>
        </is>
      </c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8">
        <f>SUM(M6:M25)</f>
        <v/>
      </c>
      <c r="N26" s="66" t="n"/>
      <c r="O26" s="66" t="n"/>
      <c r="P26" s="66" t="n"/>
    </row>
    <row r="28" ht="18" customHeight="1" s="46">
      <c r="A28" s="69" t="inlineStr">
        <is>
          <t>LEGEND</t>
        </is>
      </c>
    </row>
    <row r="29" ht="15" customHeight="1" s="46">
      <c r="A29" s="70" t="inlineStr">
        <is>
          <t>CRITICAL</t>
        </is>
      </c>
      <c r="B29" s="71" t="inlineStr">
        <is>
          <t>Variability &gt; 25% — immediate SOP action required</t>
        </is>
      </c>
    </row>
    <row r="30" ht="15" customHeight="1" s="46">
      <c r="A30" s="72" t="inlineStr">
        <is>
          <t>High</t>
        </is>
      </c>
      <c r="B30" s="71" t="inlineStr">
        <is>
          <t>Variability 15–25% or safety-critical step</t>
        </is>
      </c>
    </row>
    <row r="31" ht="15" customHeight="1" s="46">
      <c r="A31" s="73" t="inlineStr">
        <is>
          <t>Normal</t>
        </is>
      </c>
      <c r="B31" s="71" t="inlineStr">
        <is>
          <t>Variability &lt; 15% — within acceptable range</t>
        </is>
      </c>
    </row>
  </sheetData>
  <mergeCells count="3">
    <mergeCell ref="A1:U1"/>
    <mergeCell ref="A2:U2"/>
    <mergeCell ref="A28:B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45" min="1" max="1"/>
    <col width="22" customWidth="1" style="45" min="2" max="2"/>
    <col width="5" customWidth="1" style="45" min="3" max="3"/>
    <col width="22" customWidth="1" style="45" min="4" max="4"/>
    <col width="5" customWidth="1" style="45" min="5" max="5"/>
    <col width="22" customWidth="1" style="45" min="6" max="6"/>
    <col width="5" customWidth="1" style="45" min="7" max="7"/>
    <col width="22" customWidth="1" style="45" min="8" max="8"/>
    <col width="5" customWidth="1" style="45" min="9" max="9"/>
    <col width="22" customWidth="1" style="45" min="10" max="10"/>
  </cols>
  <sheetData>
    <row r="1" ht="30" customHeight="1" s="46">
      <c r="A1" s="47" t="inlineStr">
        <is>
          <t>Findings &amp; Recommendations — Wheel Assembly Time Study</t>
        </is>
      </c>
    </row>
    <row r="2" ht="21.75" customHeight="1" s="46">
      <c r="A2" s="74" t="inlineStr">
        <is>
          <t>Aurora Express | Siemens Mobility | Forage Industrial Engineering Internship</t>
        </is>
      </c>
    </row>
    <row r="4" ht="21.75" customHeight="1" s="46">
      <c r="A4" s="75" t="inlineStr">
        <is>
          <t>① CRITICAL BOTTLENECK — Highest Process Risk</t>
        </is>
      </c>
    </row>
    <row r="5" ht="21.75" customHeight="1" s="46">
      <c r="A5" s="76" t="inlineStr">
        <is>
          <t>Step 6  ·  Lubricate Wheel Bearings</t>
        </is>
      </c>
    </row>
    <row r="6" ht="15.75" customHeight="1" s="46">
      <c r="A6" s="77" t="inlineStr">
        <is>
          <t>Avg Time (hrs)</t>
        </is>
      </c>
      <c r="B6" s="78" t="inlineStr">
        <is>
          <t>1.50</t>
        </is>
      </c>
      <c r="C6" s="77" t="inlineStr">
        <is>
          <t>Range (hrs)</t>
        </is>
      </c>
      <c r="D6" s="78" t="inlineStr">
        <is>
          <t>0.020</t>
        </is>
      </c>
      <c r="E6" s="77" t="inlineStr">
        <is>
          <t>Variability</t>
        </is>
      </c>
      <c r="F6" s="78" t="inlineStr">
        <is>
          <t>32.19%</t>
        </is>
      </c>
      <c r="G6" s="77" t="inlineStr">
        <is>
          <t>Risk</t>
        </is>
      </c>
      <c r="H6" s="78" t="inlineStr">
        <is>
          <t>⚠ CRITICAL</t>
        </is>
      </c>
    </row>
    <row r="7" ht="13.5" customHeight="1" s="46">
      <c r="A7" s="79" t="inlineStr">
        <is>
          <t>Recommendations:</t>
        </is>
      </c>
    </row>
    <row r="8" ht="15" customHeight="1" s="46">
      <c r="A8" s="80" t="inlineStr">
        <is>
          <t xml:space="preserve">  ▸  Develop detailed Standard Operating Procedure (SOP) for lubrication technique, volume, and tool selection.</t>
        </is>
      </c>
      <c r="B8" s="81" t="n"/>
      <c r="C8" s="81" t="n"/>
      <c r="D8" s="81" t="n"/>
      <c r="E8" s="81" t="n"/>
      <c r="F8" s="81" t="n"/>
      <c r="G8" s="81" t="n"/>
      <c r="H8" s="81" t="n"/>
      <c r="I8" s="81" t="n"/>
      <c r="J8" s="81" t="n"/>
    </row>
    <row r="9" ht="15" customHeight="1" s="46">
      <c r="A9" s="80" t="inlineStr">
        <is>
          <t xml:space="preserve">  ▸  Deploy targeted operator training with competency sign-off before independent operation.</t>
        </is>
      </c>
      <c r="B9" s="81" t="n"/>
      <c r="C9" s="81" t="n"/>
      <c r="D9" s="81" t="n"/>
      <c r="E9" s="81" t="n"/>
      <c r="F9" s="81" t="n"/>
      <c r="G9" s="81" t="n"/>
      <c r="H9" s="81" t="n"/>
      <c r="I9" s="81" t="n"/>
      <c r="J9" s="81" t="n"/>
    </row>
    <row r="10" ht="15" customHeight="1" s="46">
      <c r="A10" s="80" t="inlineStr">
        <is>
          <t xml:space="preserve">  ▸  Optimise tool and lubricant dispenser placement at workstation to eliminate reach variability.</t>
        </is>
      </c>
      <c r="B10" s="81" t="n"/>
      <c r="C10" s="81" t="n"/>
      <c r="D10" s="81" t="n"/>
      <c r="E10" s="81" t="n"/>
      <c r="F10" s="81" t="n"/>
      <c r="G10" s="81" t="n"/>
      <c r="H10" s="81" t="n"/>
      <c r="I10" s="81" t="n"/>
      <c r="J10" s="81" t="n"/>
    </row>
    <row r="11" ht="15" customHeight="1" s="46">
      <c r="A11" s="80" t="inlineStr">
        <is>
          <t xml:space="preserve">  ▸  Introduce periodic technique audits to sustain standardisation gains.</t>
        </is>
      </c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</row>
    <row r="12" ht="6" customHeight="1" s="46"/>
    <row r="13" ht="21.75" customHeight="1" s="46">
      <c r="A13" s="75" t="inlineStr">
        <is>
          <t>② TOP TIME CONSUMERS — Throughput Bottlenecks</t>
        </is>
      </c>
    </row>
    <row r="14" ht="21.75" customHeight="1" s="46">
      <c r="A14" s="82" t="inlineStr">
        <is>
          <t>Step 14  ·  Mount Wheel to Axle</t>
        </is>
      </c>
    </row>
    <row r="15" ht="15.75" customHeight="1" s="46">
      <c r="A15" s="77" t="inlineStr">
        <is>
          <t>Max Time (hrs)</t>
        </is>
      </c>
      <c r="B15" s="78" t="inlineStr">
        <is>
          <t>5.39</t>
        </is>
      </c>
      <c r="C15" s="77" t="inlineStr">
        <is>
          <t>Variability</t>
        </is>
      </c>
      <c r="D15" s="78" t="inlineStr">
        <is>
          <t>7.09%</t>
        </is>
      </c>
      <c r="E15" s="77" t="inlineStr">
        <is>
          <t>Risk</t>
        </is>
      </c>
      <c r="F15" s="78" t="inlineStr">
        <is>
          <t>High — Crane Dependent</t>
        </is>
      </c>
    </row>
    <row r="16" ht="13.5" customHeight="1" s="46">
      <c r="A16" s="79" t="inlineStr">
        <is>
          <t>Recommendations:</t>
        </is>
      </c>
    </row>
    <row r="17" ht="15" customHeight="1" s="46">
      <c r="A17" s="83" t="inlineStr">
        <is>
          <t xml:space="preserve">  ▸  Pre-schedule crane availability to align with each assembly cycle.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</row>
    <row r="18" ht="15" customHeight="1" s="46">
      <c r="A18" s="83" t="inlineStr">
        <is>
          <t xml:space="preserve">  ▸  Establish fixed crane staging positions adjacent to mounting station.</t>
        </is>
      </c>
      <c r="B18" s="81" t="n"/>
      <c r="C18" s="81" t="n"/>
      <c r="D18" s="81" t="n"/>
      <c r="E18" s="81" t="n"/>
      <c r="F18" s="81" t="n"/>
      <c r="G18" s="81" t="n"/>
      <c r="H18" s="81" t="n"/>
      <c r="I18" s="81" t="n"/>
      <c r="J18" s="81" t="n"/>
    </row>
    <row r="19" ht="15" customHeight="1" s="46">
      <c r="A19" s="83" t="inlineStr">
        <is>
          <t xml:space="preserve">  ▸  Coordinate multi-station crane demand through production scheduling.</t>
        </is>
      </c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</row>
    <row r="20" ht="6" customHeight="1" s="46"/>
    <row r="21" ht="21.75" customHeight="1" s="46">
      <c r="A21" s="82" t="inlineStr">
        <is>
          <t>Step 16  ·  Conduct Wheel Alignment</t>
        </is>
      </c>
    </row>
    <row r="22" ht="15.75" customHeight="1" s="46">
      <c r="A22" s="77" t="inlineStr">
        <is>
          <t>Avg Time (hrs)</t>
        </is>
      </c>
      <c r="B22" s="78" t="inlineStr">
        <is>
          <t>4.75</t>
        </is>
      </c>
      <c r="C22" s="77" t="inlineStr">
        <is>
          <t>Variability</t>
        </is>
      </c>
      <c r="D22" s="78" t="inlineStr">
        <is>
          <t>9.13%</t>
        </is>
      </c>
      <c r="E22" s="77" t="inlineStr">
        <is>
          <t>Risk</t>
        </is>
      </c>
      <c r="F22" s="78" t="inlineStr">
        <is>
          <t>High — Skill Dependent</t>
        </is>
      </c>
    </row>
    <row r="23" ht="13.5" customHeight="1" s="46">
      <c r="A23" s="79" t="inlineStr">
        <is>
          <t>Recommendations:</t>
        </is>
      </c>
    </row>
    <row r="24" ht="15" customHeight="1" s="46">
      <c r="A24" s="83" t="inlineStr">
        <is>
          <t xml:space="preserve">  ▸  Assign certified, experienced operators exclusively to alignment tasks.</t>
        </is>
      </c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</row>
    <row r="25" ht="15" customHeight="1" s="46">
      <c r="A25" s="83" t="inlineStr">
        <is>
          <t xml:space="preserve">  ▸  Document alignment best-practice technique and embed in onboarding SOP.</t>
        </is>
      </c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</row>
    <row r="26" ht="15" customHeight="1" s="46">
      <c r="A26" s="83" t="inlineStr">
        <is>
          <t xml:space="preserve">  ▸  Evaluate alignment jig or gauge investment to reduce skill dependency.</t>
        </is>
      </c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</row>
    <row r="27" ht="6" customHeight="1" s="46"/>
    <row r="28" ht="21.75" customHeight="1" s="46">
      <c r="A28" s="82" t="inlineStr">
        <is>
          <t>Step 4  ·  Assemble Hub to Wheel Frame</t>
        </is>
      </c>
    </row>
    <row r="29" ht="15.75" customHeight="1" s="46">
      <c r="A29" s="77" t="inlineStr">
        <is>
          <t>Max Time (hrs)</t>
        </is>
      </c>
      <c r="B29" s="78" t="inlineStr">
        <is>
          <t>4.28</t>
        </is>
      </c>
      <c r="C29" s="77" t="inlineStr">
        <is>
          <t>Variability</t>
        </is>
      </c>
      <c r="D29" s="78" t="inlineStr">
        <is>
          <t>10.90%</t>
        </is>
      </c>
      <c r="E29" s="77" t="inlineStr">
        <is>
          <t>Risk</t>
        </is>
      </c>
      <c r="F29" s="78" t="inlineStr">
        <is>
          <t>High — Fatigue Risk</t>
        </is>
      </c>
    </row>
    <row r="30" ht="13.5" customHeight="1" s="46">
      <c r="A30" s="79" t="inlineStr">
        <is>
          <t>Recommendations:</t>
        </is>
      </c>
    </row>
    <row r="31" ht="15" customHeight="1" s="46">
      <c r="A31" s="83" t="inlineStr">
        <is>
          <t xml:space="preserve">  ▸  Implement job rotation every 2 hours to reduce fatigue-driven variability.</t>
        </is>
      </c>
      <c r="B31" s="81" t="n"/>
      <c r="C31" s="81" t="n"/>
      <c r="D31" s="81" t="n"/>
      <c r="E31" s="81" t="n"/>
      <c r="F31" s="81" t="n"/>
      <c r="G31" s="81" t="n"/>
      <c r="H31" s="81" t="n"/>
      <c r="I31" s="81" t="n"/>
      <c r="J31" s="81" t="n"/>
    </row>
    <row r="32" ht="15" customHeight="1" s="46">
      <c r="A32" s="83" t="inlineStr">
        <is>
          <t xml:space="preserve">  ▸  Improve ergonomic workstation setup (height-adjustable benches, anti-fatigue mats).</t>
        </is>
      </c>
      <c r="B32" s="81" t="n"/>
      <c r="C32" s="81" t="n"/>
      <c r="D32" s="81" t="n"/>
      <c r="E32" s="81" t="n"/>
      <c r="F32" s="81" t="n"/>
      <c r="G32" s="81" t="n"/>
      <c r="H32" s="81" t="n"/>
      <c r="I32" s="81" t="n"/>
      <c r="J32" s="81" t="n"/>
    </row>
    <row r="33" ht="15" customHeight="1" s="46">
      <c r="A33" s="83" t="inlineStr">
        <is>
          <t xml:space="preserve">  ▸  Consider pneumatic or mechanical assist tools to reduce manual effort.</t>
        </is>
      </c>
      <c r="B33" s="81" t="n"/>
      <c r="C33" s="81" t="n"/>
      <c r="D33" s="81" t="n"/>
      <c r="E33" s="81" t="n"/>
      <c r="F33" s="81" t="n"/>
      <c r="G33" s="81" t="n"/>
      <c r="H33" s="81" t="n"/>
      <c r="I33" s="81" t="n"/>
      <c r="J33" s="81" t="n"/>
    </row>
    <row r="34" ht="6" customHeight="1" s="46"/>
    <row r="35" ht="21.75" customHeight="1" s="46">
      <c r="A35" s="82" t="inlineStr">
        <is>
          <t>Step 10  ·  Fit Brake Discs to Hub</t>
        </is>
      </c>
    </row>
    <row r="36" ht="15.75" customHeight="1" s="46">
      <c r="A36" s="77" t="inlineStr">
        <is>
          <t>Avg Time (hrs)</t>
        </is>
      </c>
      <c r="B36" s="78" t="inlineStr">
        <is>
          <t>4.00</t>
        </is>
      </c>
      <c r="C36" s="77" t="inlineStr">
        <is>
          <t>Variability</t>
        </is>
      </c>
      <c r="D36" s="78" t="inlineStr">
        <is>
          <t>9.54%</t>
        </is>
      </c>
      <c r="E36" s="77" t="inlineStr">
        <is>
          <t>Risk</t>
        </is>
      </c>
      <c r="F36" s="78" t="inlineStr">
        <is>
          <t>High — Heavy Lifting</t>
        </is>
      </c>
    </row>
    <row r="37" ht="13.5" customHeight="1" s="46">
      <c r="A37" s="79" t="inlineStr">
        <is>
          <t>Recommendations:</t>
        </is>
      </c>
    </row>
    <row r="38" ht="15" customHeight="1" s="46">
      <c r="A38" s="83" t="inlineStr">
        <is>
          <t xml:space="preserve">  ▸  Introduce mechanical lifting aids or vacuum lift assist for disc handling.</t>
        </is>
      </c>
      <c r="B38" s="81" t="n"/>
      <c r="C38" s="81" t="n"/>
      <c r="D38" s="81" t="n"/>
      <c r="E38" s="81" t="n"/>
      <c r="F38" s="81" t="n"/>
      <c r="G38" s="81" t="n"/>
      <c r="H38" s="81" t="n"/>
      <c r="I38" s="81" t="n"/>
      <c r="J38" s="81" t="n"/>
    </row>
    <row r="39" ht="15" customHeight="1" s="46">
      <c r="A39" s="83" t="inlineStr">
        <is>
          <t xml:space="preserve">  ▸  Standardise alignment sequence to reduce repositioning attempts.</t>
        </is>
      </c>
      <c r="B39" s="81" t="n"/>
      <c r="C39" s="81" t="n"/>
      <c r="D39" s="81" t="n"/>
      <c r="E39" s="81" t="n"/>
      <c r="F39" s="81" t="n"/>
      <c r="G39" s="81" t="n"/>
      <c r="H39" s="81" t="n"/>
      <c r="I39" s="81" t="n"/>
      <c r="J39" s="81" t="n"/>
    </row>
    <row r="40" ht="15" customHeight="1" s="46">
      <c r="A40" s="83" t="inlineStr">
        <is>
          <t xml:space="preserve">  ▸  Ensure two-person operation protocol is consistently observed.</t>
        </is>
      </c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</row>
    <row r="41" ht="6" customHeight="1" s="46"/>
    <row r="42" ht="21.75" customHeight="1" s="46">
      <c r="A42" s="75" t="inlineStr">
        <is>
          <t>③ HIGH-RISK VARIABILITY STEPS — Safety &amp; Quality Concerns</t>
        </is>
      </c>
    </row>
    <row r="43" ht="21.75" customHeight="1" s="46">
      <c r="A43" s="82" t="inlineStr">
        <is>
          <t>Step 15  ·  Secure Wheel with Locking Mechanism</t>
        </is>
      </c>
    </row>
    <row r="44" ht="15.75" customHeight="1" s="46">
      <c r="A44" s="77" t="inlineStr">
        <is>
          <t>Variability</t>
        </is>
      </c>
      <c r="B44" s="78" t="inlineStr">
        <is>
          <t>21.98%</t>
        </is>
      </c>
      <c r="C44" s="77" t="inlineStr">
        <is>
          <t>Risk</t>
        </is>
      </c>
      <c r="D44" s="78" t="inlineStr">
        <is>
          <t>High — Safety Critical</t>
        </is>
      </c>
    </row>
    <row r="45" ht="13.5" customHeight="1" s="46">
      <c r="A45" s="79" t="inlineStr">
        <is>
          <t>Recommendations:</t>
        </is>
      </c>
    </row>
    <row r="46" ht="15" customHeight="1" s="46">
      <c r="A46" s="83" t="inlineStr">
        <is>
          <t xml:space="preserve">  ▸  Mandate documented torque verification for every unit — no exceptions.</t>
        </is>
      </c>
      <c r="B46" s="81" t="n"/>
      <c r="C46" s="81" t="n"/>
      <c r="D46" s="81" t="n"/>
      <c r="E46" s="81" t="n"/>
      <c r="F46" s="81" t="n"/>
      <c r="G46" s="81" t="n"/>
      <c r="H46" s="81" t="n"/>
      <c r="I46" s="81" t="n"/>
      <c r="J46" s="81" t="n"/>
    </row>
    <row r="47" ht="15" customHeight="1" s="46">
      <c r="A47" s="83" t="inlineStr">
        <is>
          <t xml:space="preserve">  ▸  Enforce PPE protocol (torque wrench calibration checks daily).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</row>
    <row r="48" ht="15" customHeight="1" s="46">
      <c r="A48" s="83" t="inlineStr">
        <is>
          <t xml:space="preserve">  ▸  Rotate operators every 3 hours to prevent fatigue-induced under/over-torquing.</t>
        </is>
      </c>
      <c r="B48" s="81" t="n"/>
      <c r="C48" s="81" t="n"/>
      <c r="D48" s="81" t="n"/>
      <c r="E48" s="81" t="n"/>
      <c r="F48" s="81" t="n"/>
      <c r="G48" s="81" t="n"/>
      <c r="H48" s="81" t="n"/>
      <c r="I48" s="81" t="n"/>
      <c r="J48" s="81" t="n"/>
    </row>
    <row r="49" ht="6" customHeight="1" s="46"/>
    <row r="50" ht="21.75" customHeight="1" s="46">
      <c r="A50" s="82" t="inlineStr">
        <is>
          <t>Step 19 &amp; 20  ·  Document Process + Transport to Next Section</t>
        </is>
      </c>
    </row>
    <row r="51" ht="15.75" customHeight="1" s="46">
      <c r="A51" s="77" t="inlineStr">
        <is>
          <t>Variability</t>
        </is>
      </c>
      <c r="B51" s="78" t="inlineStr">
        <is>
          <t>18.6% / 18.8%</t>
        </is>
      </c>
      <c r="C51" s="77" t="inlineStr">
        <is>
          <t>Risk</t>
        </is>
      </c>
      <c r="D51" s="78" t="inlineStr">
        <is>
          <t>High — Workflow</t>
        </is>
      </c>
    </row>
    <row r="52" ht="13.5" customHeight="1" s="46">
      <c r="A52" s="79" t="inlineStr">
        <is>
          <t>Recommendations:</t>
        </is>
      </c>
    </row>
    <row r="53" ht="15" customHeight="1" s="46">
      <c r="A53" s="83" t="inlineStr">
        <is>
          <t xml:space="preserve">  ▸  Digitise documentation (tablet/scanner) to eliminate handwriting variability.</t>
        </is>
      </c>
      <c r="B53" s="81" t="n"/>
      <c r="C53" s="81" t="n"/>
      <c r="D53" s="81" t="n"/>
      <c r="E53" s="81" t="n"/>
      <c r="F53" s="81" t="n"/>
      <c r="G53" s="81" t="n"/>
      <c r="H53" s="81" t="n"/>
      <c r="I53" s="81" t="n"/>
      <c r="J53" s="81" t="n"/>
    </row>
    <row r="54" ht="15" customHeight="1" s="46">
      <c r="A54" s="83" t="inlineStr">
        <is>
          <t xml:space="preserve">  ▸  Decompose into micro-steps and time each independently for targeted improvement.</t>
        </is>
      </c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</row>
    <row r="55" ht="15" customHeight="1" s="46">
      <c r="A55" s="83" t="inlineStr">
        <is>
          <t xml:space="preserve">  ▸  Redesign material transport path per layout proposal (Task 2).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</row>
    <row r="56" ht="15" customHeight="1" s="46">
      <c r="A56" s="83" t="inlineStr">
        <is>
          <t xml:space="preserve">  ▸  Standardise transport equipment and route to reduce step-to-step variation.</t>
        </is>
      </c>
      <c r="B56" s="81" t="n"/>
      <c r="C56" s="81" t="n"/>
      <c r="D56" s="81" t="n"/>
      <c r="E56" s="81" t="n"/>
      <c r="F56" s="81" t="n"/>
      <c r="G56" s="81" t="n"/>
      <c r="H56" s="81" t="n"/>
      <c r="I56" s="81" t="n"/>
      <c r="J56" s="81" t="n"/>
    </row>
    <row r="57" ht="6" customHeight="1" s="46"/>
    <row r="58" ht="21.75" customHeight="1" s="46">
      <c r="A58" s="75" t="inlineStr">
        <is>
          <t>④ CONCLUSION &amp; BUSINESS IMPACT SUMMARY</t>
        </is>
      </c>
    </row>
    <row r="59" ht="27.75" customHeight="1" s="46">
      <c r="A59" s="84" t="inlineStr">
        <is>
          <t>Root Cause Identified:</t>
        </is>
      </c>
      <c r="B59" s="81" t="n"/>
      <c r="C59" s="85" t="inlineStr">
        <is>
          <t>Step 6 lubrication variability (32.19%) is the primary process risk. Standardisation alone can recover 10–15% of wasted cycle time.</t>
        </is>
      </c>
      <c r="D59" s="81" t="n"/>
      <c r="E59" s="81" t="n"/>
      <c r="F59" s="81" t="n"/>
      <c r="G59" s="81" t="n"/>
      <c r="H59" s="81" t="n"/>
      <c r="I59" s="81" t="n"/>
      <c r="J59" s="81" t="n"/>
    </row>
    <row r="60" ht="27.75" customHeight="1" s="46">
      <c r="A60" s="84" t="inlineStr">
        <is>
          <t>Crane Dependency Risk:</t>
        </is>
      </c>
      <c r="B60" s="81" t="n"/>
      <c r="C60" s="85" t="inlineStr">
        <is>
          <t>Steps 14 and 16 account for ~17% of total cycle time and are crane/skill-constrained. Pre-scheduling eliminates uncontrolled wait time.</t>
        </is>
      </c>
      <c r="D60" s="81" t="n"/>
      <c r="E60" s="81" t="n"/>
      <c r="F60" s="81" t="n"/>
      <c r="G60" s="81" t="n"/>
      <c r="H60" s="81" t="n"/>
      <c r="I60" s="81" t="n"/>
      <c r="J60" s="81" t="n"/>
    </row>
    <row r="61" ht="27.75" customHeight="1" s="46">
      <c r="A61" s="84" t="inlineStr">
        <is>
          <t>Safety Exposure:</t>
        </is>
      </c>
      <c r="B61" s="81" t="n"/>
      <c r="C61" s="85" t="inlineStr">
        <is>
          <t>Steps 15, 4, and 10 present worker safety and fatigue risks — targeted controls reduce injury likelihood and associated downtime.</t>
        </is>
      </c>
      <c r="D61" s="81" t="n"/>
      <c r="E61" s="81" t="n"/>
      <c r="F61" s="81" t="n"/>
      <c r="G61" s="81" t="n"/>
      <c r="H61" s="81" t="n"/>
      <c r="I61" s="81" t="n"/>
      <c r="J61" s="81" t="n"/>
    </row>
    <row r="62" ht="27.75" customHeight="1" s="46">
      <c r="A62" s="84" t="inlineStr">
        <is>
          <t>Estimated Impact:</t>
        </is>
      </c>
      <c r="B62" s="81" t="n"/>
      <c r="C62" s="85" t="inlineStr">
        <is>
          <t>Full implementation of recommendations targets a 20–35% reduction in total cycle time, directly improving throughput and on-time delivery.</t>
        </is>
      </c>
      <c r="D62" s="81" t="n"/>
      <c r="E62" s="81" t="n"/>
      <c r="F62" s="81" t="n"/>
      <c r="G62" s="81" t="n"/>
      <c r="H62" s="81" t="n"/>
      <c r="I62" s="81" t="n"/>
      <c r="J62" s="81" t="n"/>
    </row>
    <row r="63" ht="27.75" customHeight="1" s="46">
      <c r="A63" s="84" t="inlineStr">
        <is>
          <t>Next Steps:</t>
        </is>
      </c>
      <c r="B63" s="81" t="n"/>
      <c r="C63" s="85" t="inlineStr">
        <is>
          <t>Implement SOPs for Steps 6 &amp; 15, pilot crane scheduling for Step 14, and integrate layout improvements from the Wheel Assembly Proposal.</t>
        </is>
      </c>
      <c r="D63" s="81" t="n"/>
      <c r="E63" s="81" t="n"/>
      <c r="F63" s="81" t="n"/>
      <c r="G63" s="81" t="n"/>
      <c r="H63" s="81" t="n"/>
      <c r="I63" s="81" t="n"/>
      <c r="J63" s="81" t="n"/>
    </row>
  </sheetData>
  <mergeCells count="46">
    <mergeCell ref="A47:J47"/>
    <mergeCell ref="A5:J5"/>
    <mergeCell ref="A32:J32"/>
    <mergeCell ref="A14:J14"/>
    <mergeCell ref="A8:J8"/>
    <mergeCell ref="A59:B59"/>
    <mergeCell ref="A60:B60"/>
    <mergeCell ref="A17:J17"/>
    <mergeCell ref="C62:J62"/>
    <mergeCell ref="A53:J53"/>
    <mergeCell ref="A35:J35"/>
    <mergeCell ref="A43:J43"/>
    <mergeCell ref="A38:J38"/>
    <mergeCell ref="A10:J10"/>
    <mergeCell ref="A61:B61"/>
    <mergeCell ref="A28:J28"/>
    <mergeCell ref="A19:J19"/>
    <mergeCell ref="A31:J31"/>
    <mergeCell ref="A42:I42"/>
    <mergeCell ref="A40:J40"/>
    <mergeCell ref="A9:J9"/>
    <mergeCell ref="C63:J63"/>
    <mergeCell ref="A39:J39"/>
    <mergeCell ref="A48:J48"/>
    <mergeCell ref="A24:J24"/>
    <mergeCell ref="A4:I4"/>
    <mergeCell ref="A11:J11"/>
    <mergeCell ref="A1:J1"/>
    <mergeCell ref="C59:J59"/>
    <mergeCell ref="A13:I13"/>
    <mergeCell ref="C60:J60"/>
    <mergeCell ref="A58:I58"/>
    <mergeCell ref="A54:J54"/>
    <mergeCell ref="A25:J25"/>
    <mergeCell ref="C61:J61"/>
    <mergeCell ref="A62:B62"/>
    <mergeCell ref="A46:J46"/>
    <mergeCell ref="A18:J18"/>
    <mergeCell ref="A56:J56"/>
    <mergeCell ref="A63:B63"/>
    <mergeCell ref="A21:J21"/>
    <mergeCell ref="A55:J55"/>
    <mergeCell ref="A50:J50"/>
    <mergeCell ref="A26:J26"/>
    <mergeCell ref="A2:J2"/>
    <mergeCell ref="A33:J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45" min="1" max="1"/>
    <col width="45" customWidth="1" style="45" min="2" max="2"/>
    <col width="14" customWidth="1" style="45" min="3" max="4"/>
  </cols>
  <sheetData>
    <row r="1" ht="27.75" customHeight="1" s="46">
      <c r="A1" s="86" t="inlineStr">
        <is>
          <t>Step Variability Summary — Aurora Express Wheel Assembly</t>
        </is>
      </c>
    </row>
    <row r="2" ht="19.5" customHeight="1" s="46">
      <c r="A2" s="87" t="inlineStr">
        <is>
          <t>Step #</t>
        </is>
      </c>
      <c r="B2" s="87" t="inlineStr">
        <is>
          <t>Element Description</t>
        </is>
      </c>
      <c r="C2" s="87" t="inlineStr">
        <is>
          <t>Avg Time (hrs)</t>
        </is>
      </c>
      <c r="D2" s="87" t="inlineStr">
        <is>
          <t>Variability (%)</t>
        </is>
      </c>
    </row>
    <row r="3" ht="18" customHeight="1" s="46">
      <c r="A3" s="88" t="n">
        <v>1</v>
      </c>
      <c r="B3" s="89" t="inlineStr">
        <is>
          <t>Retrieve wheel components from storage</t>
        </is>
      </c>
      <c r="C3" s="54" t="n">
        <v>0.1024</v>
      </c>
      <c r="D3" s="55" t="n">
        <v>0.1356</v>
      </c>
    </row>
    <row r="4" ht="18" customHeight="1" s="46">
      <c r="A4" s="90" t="n">
        <v>2</v>
      </c>
      <c r="B4" s="91" t="inlineStr">
        <is>
          <t>Setup workspace and tools</t>
        </is>
      </c>
      <c r="C4" s="60" t="n">
        <v>0.0687</v>
      </c>
      <c r="D4" s="62" t="n">
        <v>0.1719</v>
      </c>
    </row>
    <row r="5" ht="18" customHeight="1" s="46">
      <c r="A5" s="88" t="n">
        <v>3</v>
      </c>
      <c r="B5" s="89" t="inlineStr">
        <is>
          <t>Inspect components for defects</t>
        </is>
      </c>
      <c r="C5" s="54" t="n">
        <v>0.1269</v>
      </c>
      <c r="D5" s="55" t="n">
        <v>0.0985</v>
      </c>
    </row>
    <row r="6" ht="18" customHeight="1" s="46">
      <c r="A6" s="90" t="n">
        <v>4</v>
      </c>
      <c r="B6" s="91" t="inlineStr">
        <is>
          <t>Assemble hub to wheel frame</t>
        </is>
      </c>
      <c r="C6" s="60" t="n">
        <v>0.1783</v>
      </c>
      <c r="D6" s="55" t="n">
        <v>0.109</v>
      </c>
    </row>
    <row r="7" ht="18" customHeight="1" s="46">
      <c r="A7" s="88" t="n">
        <v>5</v>
      </c>
      <c r="B7" s="89" t="inlineStr">
        <is>
          <t>Secure hub with bolts</t>
        </is>
      </c>
      <c r="C7" s="54" t="n">
        <v>0.1167</v>
      </c>
      <c r="D7" s="62" t="n">
        <v>0.1488</v>
      </c>
    </row>
    <row r="8" ht="18" customHeight="1" s="46">
      <c r="A8" s="90" t="n">
        <v>6</v>
      </c>
      <c r="B8" s="91" t="inlineStr">
        <is>
          <t>Lubricate wheel bearings</t>
        </is>
      </c>
      <c r="C8" s="60" t="n">
        <v>0.0626</v>
      </c>
      <c r="D8" s="64" t="n">
        <v>0.3219</v>
      </c>
    </row>
    <row r="9" ht="18" customHeight="1" s="46">
      <c r="A9" s="88" t="n">
        <v>7</v>
      </c>
      <c r="B9" s="89" t="inlineStr">
        <is>
          <t>Install bearings into hub</t>
        </is>
      </c>
      <c r="C9" s="54" t="n">
        <v>0.1308</v>
      </c>
      <c r="D9" s="55" t="n">
        <v>0.1009</v>
      </c>
    </row>
    <row r="10" ht="18" customHeight="1" s="46">
      <c r="A10" s="90" t="n">
        <v>8</v>
      </c>
      <c r="B10" s="91" t="inlineStr">
        <is>
          <t>Attach wheel sensors</t>
        </is>
      </c>
      <c r="C10" s="60" t="n">
        <v>0.1097</v>
      </c>
      <c r="D10" s="55" t="n">
        <v>0.1329</v>
      </c>
    </row>
    <row r="11" ht="18" customHeight="1" s="46">
      <c r="A11" s="88" t="n">
        <v>9</v>
      </c>
      <c r="B11" s="89" t="inlineStr">
        <is>
          <t>Test sensor functionality</t>
        </is>
      </c>
      <c r="C11" s="54" t="n">
        <v>0.1228</v>
      </c>
      <c r="D11" s="62" t="n">
        <v>0.147</v>
      </c>
    </row>
    <row r="12" ht="18" customHeight="1" s="46">
      <c r="A12" s="90" t="n">
        <v>10</v>
      </c>
      <c r="B12" s="91" t="inlineStr">
        <is>
          <t>Fit brake discs to hub</t>
        </is>
      </c>
      <c r="C12" s="60" t="n">
        <v>0.1675</v>
      </c>
      <c r="D12" s="55" t="n">
        <v>0.0954</v>
      </c>
    </row>
    <row r="13" ht="18" customHeight="1" s="46">
      <c r="A13" s="88" t="n">
        <v>11</v>
      </c>
      <c r="B13" s="89" t="inlineStr">
        <is>
          <t>Install brake calipers</t>
        </is>
      </c>
      <c r="C13" s="54" t="n">
        <v>0.158</v>
      </c>
      <c r="D13" s="55" t="n">
        <v>0.1187</v>
      </c>
    </row>
    <row r="14" ht="18" customHeight="1" s="46">
      <c r="A14" s="90" t="n">
        <v>12</v>
      </c>
      <c r="B14" s="91" t="inlineStr">
        <is>
          <t>Connect brake lines</t>
        </is>
      </c>
      <c r="C14" s="60" t="n">
        <v>0.1481</v>
      </c>
      <c r="D14" s="55" t="n">
        <v>0.1219</v>
      </c>
    </row>
    <row r="15" ht="18" customHeight="1" s="46">
      <c r="A15" s="88" t="n">
        <v>13</v>
      </c>
      <c r="B15" s="89" t="inlineStr">
        <is>
          <t>Bleed brake system</t>
        </is>
      </c>
      <c r="C15" s="54" t="n">
        <v>0.1655</v>
      </c>
      <c r="D15" s="55" t="n">
        <v>0.1049</v>
      </c>
    </row>
    <row r="16" ht="18" customHeight="1" s="46">
      <c r="A16" s="90" t="n">
        <v>14</v>
      </c>
      <c r="B16" s="91" t="inlineStr">
        <is>
          <t>Mount wheel to axle</t>
        </is>
      </c>
      <c r="C16" s="60" t="n">
        <v>0.2253</v>
      </c>
      <c r="D16" s="55" t="n">
        <v>0.0709</v>
      </c>
    </row>
    <row r="17" ht="18" customHeight="1" s="46">
      <c r="A17" s="88" t="n">
        <v>15</v>
      </c>
      <c r="B17" s="89" t="inlineStr">
        <is>
          <t>Secure wheel with locking mechanism</t>
        </is>
      </c>
      <c r="C17" s="54" t="n">
        <v>0.0948</v>
      </c>
      <c r="D17" s="62" t="n">
        <v>0.2198</v>
      </c>
    </row>
    <row r="18" ht="18" customHeight="1" s="46">
      <c r="A18" s="90" t="n">
        <v>16</v>
      </c>
      <c r="B18" s="91" t="inlineStr">
        <is>
          <t>Conduct wheel alignment</t>
        </is>
      </c>
      <c r="C18" s="60" t="n">
        <v>0.1978</v>
      </c>
      <c r="D18" s="55" t="n">
        <v>0.09130000000000001</v>
      </c>
    </row>
    <row r="19" ht="18" customHeight="1" s="46">
      <c r="A19" s="88" t="n">
        <v>17</v>
      </c>
      <c r="B19" s="89" t="inlineStr">
        <is>
          <t>Perform functional test of wheel assembly</t>
        </is>
      </c>
      <c r="C19" s="54" t="n">
        <v>0.1332</v>
      </c>
      <c r="D19" s="62" t="n">
        <v>0.146</v>
      </c>
    </row>
    <row r="20" ht="18" customHeight="1" s="46">
      <c r="A20" s="90" t="n">
        <v>18</v>
      </c>
      <c r="B20" s="91" t="inlineStr">
        <is>
          <t>Clean assembly area</t>
        </is>
      </c>
      <c r="C20" s="60" t="n">
        <v>0.0808</v>
      </c>
      <c r="D20" s="62" t="n">
        <v>0.215</v>
      </c>
    </row>
    <row r="21" ht="18" customHeight="1" s="46">
      <c r="A21" s="88" t="n">
        <v>19</v>
      </c>
      <c r="B21" s="89" t="inlineStr">
        <is>
          <t>Document assembly process</t>
        </is>
      </c>
      <c r="C21" s="54" t="n">
        <v>0.0859</v>
      </c>
      <c r="D21" s="62" t="n">
        <v>0.1859</v>
      </c>
    </row>
    <row r="22" ht="18" customHeight="1" s="46">
      <c r="A22" s="90" t="n">
        <v>20</v>
      </c>
      <c r="B22" s="91" t="inlineStr">
        <is>
          <t>Transport assembly to next section</t>
        </is>
      </c>
      <c r="C22" s="60" t="n">
        <v>0.1106</v>
      </c>
      <c r="D22" s="62" t="n">
        <v>0.1884</v>
      </c>
    </row>
    <row r="25" ht="20" customHeight="1" s="46">
      <c r="F25" s="92" t="inlineStr">
        <is>
          <t>Chart Colour Legend</t>
        </is>
      </c>
    </row>
    <row r="26" ht="18" customHeight="1" s="46">
      <c r="F26" s="93" t="inlineStr">
        <is>
          <t xml:space="preserve">  CRITICAL</t>
        </is>
      </c>
      <c r="G26" s="94" t="inlineStr">
        <is>
          <t>Variability &gt; 25% — Immediate SOP action required</t>
        </is>
      </c>
    </row>
    <row r="27" ht="18" customHeight="1" s="46">
      <c r="F27" s="95" t="inlineStr">
        <is>
          <t xml:space="preserve">  High</t>
        </is>
      </c>
      <c r="G27" s="94" t="inlineStr">
        <is>
          <t>Variability 15–25% — Targeted improvement needed</t>
        </is>
      </c>
    </row>
    <row r="28" ht="18" customHeight="1" s="46">
      <c r="F28" s="96" t="inlineStr">
        <is>
          <t xml:space="preserve">  Normal</t>
        </is>
      </c>
      <c r="G28" s="94" t="inlineStr">
        <is>
          <t>Variability &lt; 15% — Within acceptable control limits</t>
        </is>
      </c>
    </row>
  </sheetData>
  <mergeCells count="5">
    <mergeCell ref="G26:K26"/>
    <mergeCell ref="A1:D1"/>
    <mergeCell ref="F25:K25"/>
    <mergeCell ref="G28:K28"/>
    <mergeCell ref="G27:K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2026-06-06T12:40:02Z</dcterms:created>
  <dcterms:modified xmlns:dcterms="http://purl.org/dc/terms/" xmlns:xsi="http://www.w3.org/2001/XMLSchema-instance" xsi:type="dcterms:W3CDTF">2026-06-06T12:53:13Z</dcterms:modified>
  <cp:revision>1</cp:revision>
</cp:coreProperties>
</file>